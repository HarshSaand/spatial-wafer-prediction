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harshsaand/Documents/Codex/2026-08-26/so/outputs/"/>
    </mc:Choice>
  </mc:AlternateContent>
  <xr:revisionPtr revIDLastSave="0" documentId="13_ncr:1_{3F876738-C6D3-DD42-B794-BA791A8C192C}" xr6:coauthVersionLast="47" xr6:coauthVersionMax="47" xr10:uidLastSave="{00000000-0000-0000-0000-000000000000}"/>
  <bookViews>
    <workbookView xWindow="0" yWindow="660" windowWidth="30240" windowHeight="17700" xr2:uid="{00000000-000D-0000-FFFF-FFFF00000000}"/>
  </bookViews>
  <sheets>
    <sheet name="Individual wafer 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1" i="1"/>
  <c r="B10" i="1"/>
  <c r="B9" i="1"/>
  <c r="B8" i="1"/>
  <c r="B7" i="1"/>
</calcChain>
</file>

<file path=xl/sharedStrings.xml><?xml version="1.0" encoding="utf-8"?>
<sst xmlns="http://schemas.openxmlformats.org/spreadsheetml/2006/main" count="195" uniqueCount="111">
  <si>
    <t>Individual Wafer Prediction Metrics</t>
  </si>
  <si>
    <t>Five-fold out-of-fold evaluation of the recommended dual-input deep ensemble across 88 wafer locations</t>
  </si>
  <si>
    <t>Summary metric</t>
  </si>
  <si>
    <t>Value</t>
  </si>
  <si>
    <t>How to read the metrics</t>
  </si>
  <si>
    <t>Number of held-out wafers</t>
  </si>
  <si>
    <t>Mean wafer R²</t>
  </si>
  <si>
    <t>Median wafer R²</t>
  </si>
  <si>
    <t>Positive wafer R²</t>
  </si>
  <si>
    <t>Minimum wafer R²</t>
  </si>
  <si>
    <t>Maximum wafer R²</t>
  </si>
  <si>
    <t>Wafer index</t>
  </si>
  <si>
    <t>Wafer key</t>
  </si>
  <si>
    <t>Lot</t>
  </si>
  <si>
    <t>Wafer R²</t>
  </si>
  <si>
    <t>Wafer RMSE</t>
  </si>
  <si>
    <t>Mean bias</t>
  </si>
  <si>
    <t>Performance band</t>
  </si>
  <si>
    <t>2024-07-05_06</t>
  </si>
  <si>
    <t>High</t>
  </si>
  <si>
    <t>2024-07-05_05</t>
  </si>
  <si>
    <t>2024-07-02_06</t>
  </si>
  <si>
    <t>2024-07-02_08</t>
  </si>
  <si>
    <t>2024-07-05_10</t>
  </si>
  <si>
    <t>2024-07-05_07</t>
  </si>
  <si>
    <t>2024-07-05_03</t>
  </si>
  <si>
    <t>2024-07-02_03</t>
  </si>
  <si>
    <t>2024-07-05_09</t>
  </si>
  <si>
    <t>2024-07-02_05</t>
  </si>
  <si>
    <t>2024-07-02_04</t>
  </si>
  <si>
    <t>2024-07-05_04</t>
  </si>
  <si>
    <t>2024-07-02_02</t>
  </si>
  <si>
    <t>2024-07-05_08</t>
  </si>
  <si>
    <t>2024-07-02_10</t>
  </si>
  <si>
    <t>2024-07-05_02</t>
  </si>
  <si>
    <t>2024-08-01_07</t>
  </si>
  <si>
    <t>2024-08-07_08</t>
  </si>
  <si>
    <t>2024-08-07_07</t>
  </si>
  <si>
    <t>2024-07-02_09</t>
  </si>
  <si>
    <t>2024-07-19_06</t>
  </si>
  <si>
    <t>2024-08-21_06</t>
  </si>
  <si>
    <t>2024-07-09_09</t>
  </si>
  <si>
    <t>2024-07-09_06</t>
  </si>
  <si>
    <t>2024-07-11_09</t>
  </si>
  <si>
    <t>2024-07-11_06</t>
  </si>
  <si>
    <t>2024-07-11_08</t>
  </si>
  <si>
    <t>2024-08-21_01</t>
  </si>
  <si>
    <t>2024-07-09_08</t>
  </si>
  <si>
    <t>2024-08-01_08</t>
  </si>
  <si>
    <t>2024-07-09_07</t>
  </si>
  <si>
    <t>Moderate</t>
  </si>
  <si>
    <t>2024-07-11_04</t>
  </si>
  <si>
    <t>2024-07-05_01</t>
  </si>
  <si>
    <t>2024-07-11_07</t>
  </si>
  <si>
    <t>2024-07-09_02</t>
  </si>
  <si>
    <t>2024-08-01_09</t>
  </si>
  <si>
    <t>2024-07-11_05</t>
  </si>
  <si>
    <t>2024-07-09_04</t>
  </si>
  <si>
    <t>2024-08-05_06</t>
  </si>
  <si>
    <t>2024-08-21_07</t>
  </si>
  <si>
    <t>2024-07-11_10</t>
  </si>
  <si>
    <t>2024-08-05_04</t>
  </si>
  <si>
    <t>2024-07-02_01</t>
  </si>
  <si>
    <t>2024-07-19_07</t>
  </si>
  <si>
    <t>2024-07-09_05</t>
  </si>
  <si>
    <t>2024-08-07_01</t>
  </si>
  <si>
    <t>2024-08-07_10</t>
  </si>
  <si>
    <t>2024-08-07_04</t>
  </si>
  <si>
    <t>2024-08-07_06</t>
  </si>
  <si>
    <t>2024-08-07_05</t>
  </si>
  <si>
    <t>2024-08-21_10</t>
  </si>
  <si>
    <t>2024-07-19_04</t>
  </si>
  <si>
    <t>2024-08-05_05</t>
  </si>
  <si>
    <t>2024-08-01_10</t>
  </si>
  <si>
    <t>2024-07-19_03</t>
  </si>
  <si>
    <t>2024-07-11_03</t>
  </si>
  <si>
    <t>2024-07-19_02</t>
  </si>
  <si>
    <t>2024-08-21_05</t>
  </si>
  <si>
    <t>2024-07-19_05</t>
  </si>
  <si>
    <t>2024-08-21_03</t>
  </si>
  <si>
    <t>Low</t>
  </si>
  <si>
    <t>2024-07-19_01</t>
  </si>
  <si>
    <t>2024-07-09_03</t>
  </si>
  <si>
    <t>2024-07-09_01</t>
  </si>
  <si>
    <t>2024-08-05_02</t>
  </si>
  <si>
    <t>2024-07-11_01</t>
  </si>
  <si>
    <t>2024-08-05_01</t>
  </si>
  <si>
    <t>2024-08-21_04</t>
  </si>
  <si>
    <t>2024-08-07_02</t>
  </si>
  <si>
    <t>2024-08-07_03</t>
  </si>
  <si>
    <t>2024-08-21_08</t>
  </si>
  <si>
    <t>2024-08-05_03</t>
  </si>
  <si>
    <t>2024-07-09_10</t>
  </si>
  <si>
    <t>2024-07-11_02</t>
  </si>
  <si>
    <t>2024-08-22_03</t>
  </si>
  <si>
    <t>2024-08-07_09</t>
  </si>
  <si>
    <t>2024-08-22_02</t>
  </si>
  <si>
    <t>Negative</t>
  </si>
  <si>
    <t>2024-07-19_08</t>
  </si>
  <si>
    <t>2024-07-19_10</t>
  </si>
  <si>
    <t>2024-08-22_01</t>
  </si>
  <si>
    <t>2024-08-21_02</t>
  </si>
  <si>
    <t>2024-08-01_02</t>
  </si>
  <si>
    <t>2024-08-01_03</t>
  </si>
  <si>
    <t>2024-08-01_01</t>
  </si>
  <si>
    <t>2024-08-01_04</t>
  </si>
  <si>
    <t>2024-08-22_04</t>
  </si>
  <si>
    <t>2024-07-19_09</t>
  </si>
  <si>
    <t>2024-08-01_05</t>
  </si>
  <si>
    <t>2024-08-01_06</t>
  </si>
  <si>
    <t>Wafer R² compares the measured and predicted spatial pattern across that wafer's 88 locations. Higher R² and lower RMSE are better. A negative R² means the predicted within-wafer pattern is worse than using that wafer's mean thickness.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</si>
</sst>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0.0000"/>
  </numFmts>
  <fonts count="9">
    <font>
      <sz val="11"/>
      <name val="Carlito"/>
    </font>
    <font>
      <b/>
      <sz val="16"/>
      <color rgb="FF111111"/>
      <name val="Arial"/>
    </font>
    <font>
      <i/>
      <sz val="10"/>
      <color rgb="FF555555"/>
      <name val="Arial"/>
    </font>
    <font>
      <b/>
      <sz val="10"/>
      <color rgb="FFFFFFFF"/>
      <name val="Arial"/>
    </font>
    <font>
      <sz val="10"/>
      <color rgb="FF222222"/>
      <name val="Arial"/>
    </font>
    <font>
      <b/>
      <sz val="10"/>
      <color rgb="FF111111"/>
      <name val="Arial"/>
    </font>
    <font>
      <sz val="10"/>
      <color rgb="FF333333"/>
      <name val="Arial"/>
    </font>
    <font>
      <sz val="10"/>
      <name val="Arial"/>
    </font>
    <font>
      <sz val="10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/>
      <right/>
      <top/>
      <bottom style="thin">
        <color rgb="FF9EADBA"/>
      </bottom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164" fontId="4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6" fontId="7" fillId="0" borderId="0" xfId="0" applyNumberFormat="1" applyFont="1" applyAlignment="1">
      <alignment vertical="center"/>
    </xf>
    <xf numFmtId="0" fontId="7" fillId="0" borderId="1" xfId="0" applyFont="1" applyBorder="1"/>
    <xf numFmtId="0" fontId="1" fillId="0" borderId="0" xfId="0" applyFont="1" applyAlignment="1">
      <alignment vertical="center"/>
    </xf>
    <xf numFmtId="0" fontId="2" fillId="0" borderId="0" xfId="0" applyFont="1"/>
    <xf numFmtId="0" fontId="5" fillId="4" borderId="0" xfId="0" applyFont="1" applyFill="1"/>
    <xf numFmtId="0" fontId="6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dividualWaferMetrics" displayName="IndividualWaferMetrics" ref="A15:G103" totalsRowShown="0">
  <autoFilter ref="A15:G103" xr:uid="{00000000-0009-0000-0100-000001000000}"/>
  <tableColumns count="7">
    <tableColumn id="1" xr3:uid="{00000000-0010-0000-0000-000001000000}" name="Wafer index"/>
    <tableColumn id="2" xr3:uid="{00000000-0010-0000-0000-000002000000}" name="Wafer key"/>
    <tableColumn id="3" xr3:uid="{00000000-0010-0000-0000-000003000000}" name="Lot"/>
    <tableColumn id="4" xr3:uid="{00000000-0010-0000-0000-000004000000}" name="Wafer R²"/>
    <tableColumn id="5" xr3:uid="{00000000-0010-0000-0000-000005000000}" name="Wafer RMSE"/>
    <tableColumn id="6" xr3:uid="{00000000-0010-0000-0000-000006000000}" name="Mean bias"/>
    <tableColumn id="7" xr3:uid="{00000000-0010-0000-0000-000007000000}" name="Performance ba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G103"/>
  <sheetViews>
    <sheetView showGridLines="0" tabSelected="1" workbookViewId="0">
      <pane ySplit="15" topLeftCell="A16" activePane="bottomLeft" state="frozen"/>
      <selection pane="bottomLeft" activeCell="D7" sqref="D7:G10"/>
    </sheetView>
  </sheetViews>
  <sheetFormatPr baseColWidth="10" defaultColWidth="8.83203125" defaultRowHeight="15"/>
  <cols>
    <col min="1" max="1" width="13" customWidth="1"/>
    <col min="2" max="2" width="22" customWidth="1"/>
    <col min="3" max="3" width="9" customWidth="1"/>
    <col min="4" max="5" width="15" customWidth="1"/>
    <col min="6" max="6" width="17" customWidth="1"/>
    <col min="7" max="7" width="19" customWidth="1"/>
  </cols>
  <sheetData>
    <row r="1" spans="1:7">
      <c r="A1" s="6"/>
      <c r="B1" s="6"/>
      <c r="C1" s="6"/>
      <c r="D1" s="6"/>
      <c r="E1" s="6"/>
      <c r="F1" s="6"/>
      <c r="G1" s="6"/>
    </row>
    <row r="2" spans="1:7" ht="28" customHeight="1">
      <c r="A2" s="13" t="s">
        <v>0</v>
      </c>
      <c r="B2" s="13"/>
      <c r="C2" s="13"/>
      <c r="D2" s="13"/>
      <c r="E2" s="13"/>
      <c r="F2" s="13"/>
      <c r="G2" s="13"/>
    </row>
    <row r="3" spans="1:7" ht="20" customHeight="1">
      <c r="A3" s="14" t="s">
        <v>1</v>
      </c>
      <c r="B3" s="14"/>
      <c r="C3" s="14"/>
      <c r="D3" s="14"/>
      <c r="E3" s="14"/>
      <c r="F3" s="14"/>
      <c r="G3" s="14"/>
    </row>
    <row r="4" spans="1:7" ht="15" customHeight="1">
      <c r="A4" s="12"/>
      <c r="B4" s="12"/>
      <c r="C4" s="12"/>
      <c r="D4" s="12"/>
      <c r="E4" s="12"/>
      <c r="F4" s="12"/>
      <c r="G4" s="12"/>
    </row>
    <row r="5" spans="1:7" ht="15" customHeight="1">
      <c r="A5" s="6"/>
      <c r="B5" s="6"/>
      <c r="C5" s="6"/>
      <c r="D5" s="6"/>
      <c r="E5" s="6"/>
      <c r="F5" s="6"/>
      <c r="G5" s="6"/>
    </row>
    <row r="6" spans="1:7" ht="15" customHeight="1">
      <c r="A6" s="1" t="s">
        <v>2</v>
      </c>
      <c r="B6" s="1" t="s">
        <v>3</v>
      </c>
      <c r="C6" s="6"/>
      <c r="D6" s="15" t="s">
        <v>4</v>
      </c>
      <c r="E6" s="15"/>
      <c r="F6" s="15"/>
      <c r="G6" s="15"/>
    </row>
    <row r="7" spans="1:7" ht="22" customHeight="1">
      <c r="A7" s="3" t="s">
        <v>5</v>
      </c>
      <c r="B7" s="2">
        <f>COUNT(D16:D103)</f>
        <v>88</v>
      </c>
      <c r="C7" s="6"/>
      <c r="D7" s="17" t="s">
        <v>110</v>
      </c>
      <c r="E7" s="16"/>
      <c r="F7" s="16"/>
      <c r="G7" s="16"/>
    </row>
    <row r="8" spans="1:7" ht="22" customHeight="1">
      <c r="A8" s="3" t="s">
        <v>6</v>
      </c>
      <c r="B8" s="4">
        <f>AVERAGE(D16:D103)</f>
        <v>0.53707592562289841</v>
      </c>
      <c r="C8" s="6"/>
      <c r="D8" s="16"/>
      <c r="E8" s="16"/>
      <c r="F8" s="16"/>
      <c r="G8" s="16"/>
    </row>
    <row r="9" spans="1:7" ht="22" customHeight="1">
      <c r="A9" s="3" t="s">
        <v>7</v>
      </c>
      <c r="B9" s="4">
        <f>MEDIAN(D16:D103)</f>
        <v>0.72991978556138082</v>
      </c>
      <c r="C9" s="6"/>
      <c r="D9" s="16"/>
      <c r="E9" s="16"/>
      <c r="F9" s="16"/>
      <c r="G9" s="16"/>
    </row>
    <row r="10" spans="1:7" ht="22" customHeight="1">
      <c r="A10" s="3" t="s">
        <v>8</v>
      </c>
      <c r="B10" s="5">
        <f>COUNTIF(D16:D103,"&gt;0")/COUNT(D16:D103)</f>
        <v>0.85227272727272729</v>
      </c>
      <c r="C10" s="6"/>
      <c r="D10" s="16"/>
      <c r="E10" s="16"/>
      <c r="F10" s="16"/>
      <c r="G10" s="16"/>
    </row>
    <row r="11" spans="1:7" ht="15" customHeight="1">
      <c r="A11" s="3" t="s">
        <v>9</v>
      </c>
      <c r="B11" s="4">
        <f>MIN(D16:D103)</f>
        <v>-1.1999114244209674</v>
      </c>
      <c r="C11" s="6"/>
      <c r="D11" s="6"/>
      <c r="E11" s="6"/>
      <c r="F11" s="6"/>
      <c r="G11" s="6"/>
    </row>
    <row r="12" spans="1:7" ht="15" customHeight="1">
      <c r="A12" s="3" t="s">
        <v>10</v>
      </c>
      <c r="B12" s="4">
        <f>MAX(D16:D103)</f>
        <v>0.99467685037922138</v>
      </c>
      <c r="C12" s="6"/>
      <c r="D12" s="6"/>
      <c r="E12" s="6"/>
      <c r="F12" s="6"/>
      <c r="G12" s="6"/>
    </row>
    <row r="13" spans="1:7" ht="15" customHeight="1">
      <c r="A13" s="6"/>
      <c r="B13" s="6"/>
      <c r="C13" s="6"/>
      <c r="D13" s="6"/>
      <c r="E13" s="6"/>
      <c r="F13" s="6"/>
      <c r="G13" s="6"/>
    </row>
    <row r="14" spans="1:7" ht="15" customHeight="1">
      <c r="A14" s="6"/>
      <c r="B14" s="6"/>
      <c r="C14" s="6"/>
      <c r="D14" s="6"/>
      <c r="E14" s="6"/>
      <c r="F14" s="6"/>
      <c r="G14" s="6"/>
    </row>
    <row r="15" spans="1:7" ht="15" customHeight="1">
      <c r="A15" s="1" t="s">
        <v>11</v>
      </c>
      <c r="B15" s="1" t="s">
        <v>12</v>
      </c>
      <c r="C15" s="1" t="s">
        <v>13</v>
      </c>
      <c r="D15" s="1" t="s">
        <v>14</v>
      </c>
      <c r="E15" s="1" t="s">
        <v>15</v>
      </c>
      <c r="F15" s="1" t="s">
        <v>16</v>
      </c>
      <c r="G15" s="9" t="s">
        <v>17</v>
      </c>
    </row>
    <row r="16" spans="1:7" ht="15" customHeight="1">
      <c r="A16" s="8">
        <v>14</v>
      </c>
      <c r="B16" s="7" t="s">
        <v>18</v>
      </c>
      <c r="C16" s="8">
        <v>2</v>
      </c>
      <c r="D16" s="11">
        <v>0.99467685037922138</v>
      </c>
      <c r="E16" s="11">
        <v>5.4424559602267702E-3</v>
      </c>
      <c r="F16" s="11">
        <v>-2.4194551530945354E-3</v>
      </c>
      <c r="G16" s="10" t="s">
        <v>19</v>
      </c>
    </row>
    <row r="17" spans="1:7" ht="15" customHeight="1">
      <c r="A17" s="8">
        <v>13</v>
      </c>
      <c r="B17" s="7" t="s">
        <v>20</v>
      </c>
      <c r="C17" s="8">
        <v>2</v>
      </c>
      <c r="D17" s="11">
        <v>0.9892520211663256</v>
      </c>
      <c r="E17" s="11">
        <v>7.8462433144528242E-3</v>
      </c>
      <c r="F17" s="11">
        <v>-1.8143084208823144E-3</v>
      </c>
      <c r="G17" s="10" t="s">
        <v>19</v>
      </c>
    </row>
    <row r="18" spans="1:7" ht="15" customHeight="1">
      <c r="A18" s="8">
        <v>5</v>
      </c>
      <c r="B18" s="7" t="s">
        <v>21</v>
      </c>
      <c r="C18" s="8">
        <v>1</v>
      </c>
      <c r="D18" s="11">
        <v>0.98791885015306857</v>
      </c>
      <c r="E18" s="11">
        <v>7.9856697626918601E-3</v>
      </c>
      <c r="F18" s="11">
        <v>-2.0461954086096121E-3</v>
      </c>
      <c r="G18" s="10" t="s">
        <v>19</v>
      </c>
    </row>
    <row r="19" spans="1:7" ht="15" customHeight="1">
      <c r="A19" s="8">
        <v>6</v>
      </c>
      <c r="B19" s="7" t="s">
        <v>22</v>
      </c>
      <c r="C19" s="8">
        <v>1</v>
      </c>
      <c r="D19" s="11">
        <v>0.98727434939964342</v>
      </c>
      <c r="E19" s="11">
        <v>8.046884673854577E-3</v>
      </c>
      <c r="F19" s="11">
        <v>-7.0054169336932724E-3</v>
      </c>
      <c r="G19" s="10" t="s">
        <v>19</v>
      </c>
    </row>
    <row r="20" spans="1:7" ht="15" customHeight="1">
      <c r="A20" s="8">
        <v>18</v>
      </c>
      <c r="B20" s="7" t="s">
        <v>23</v>
      </c>
      <c r="C20" s="8">
        <v>2</v>
      </c>
      <c r="D20" s="11">
        <v>0.98613828261402825</v>
      </c>
      <c r="E20" s="11">
        <v>8.691689786426874E-3</v>
      </c>
      <c r="F20" s="11">
        <v>-8.0906611161270948E-3</v>
      </c>
      <c r="G20" s="10" t="s">
        <v>19</v>
      </c>
    </row>
    <row r="21" spans="1:7" ht="15" customHeight="1">
      <c r="A21" s="8">
        <v>15</v>
      </c>
      <c r="B21" s="7" t="s">
        <v>24</v>
      </c>
      <c r="C21" s="8">
        <v>2</v>
      </c>
      <c r="D21" s="11">
        <v>0.98434152724461998</v>
      </c>
      <c r="E21" s="11">
        <v>9.3467991737397078E-3</v>
      </c>
      <c r="F21" s="11">
        <v>-8.2301214279596139E-3</v>
      </c>
      <c r="G21" s="10" t="s">
        <v>19</v>
      </c>
    </row>
    <row r="22" spans="1:7" ht="15" customHeight="1">
      <c r="A22" s="8">
        <v>11</v>
      </c>
      <c r="B22" s="7" t="s">
        <v>25</v>
      </c>
      <c r="C22" s="8">
        <v>2</v>
      </c>
      <c r="D22" s="11">
        <v>0.98096653356140562</v>
      </c>
      <c r="E22" s="11">
        <v>1.0417595684327255E-2</v>
      </c>
      <c r="F22" s="11">
        <v>6.0460147272306478E-3</v>
      </c>
      <c r="G22" s="10" t="s">
        <v>19</v>
      </c>
    </row>
    <row r="23" spans="1:7" ht="15" customHeight="1">
      <c r="A23" s="8">
        <v>2</v>
      </c>
      <c r="B23" s="7" t="s">
        <v>26</v>
      </c>
      <c r="C23" s="8">
        <v>1</v>
      </c>
      <c r="D23" s="11">
        <v>0.97754991869156305</v>
      </c>
      <c r="E23" s="11">
        <v>1.099952780115147E-2</v>
      </c>
      <c r="F23" s="11">
        <v>8.8965392322939724E-3</v>
      </c>
      <c r="G23" s="10" t="s">
        <v>19</v>
      </c>
    </row>
    <row r="24" spans="1:7" ht="15" customHeight="1">
      <c r="A24" s="8">
        <v>17</v>
      </c>
      <c r="B24" s="7" t="s">
        <v>27</v>
      </c>
      <c r="C24" s="8">
        <v>2</v>
      </c>
      <c r="D24" s="11">
        <v>0.97555814946787867</v>
      </c>
      <c r="E24" s="11">
        <v>1.1498054245072751E-2</v>
      </c>
      <c r="F24" s="11">
        <v>-1.0402426646578965E-2</v>
      </c>
      <c r="G24" s="10" t="s">
        <v>19</v>
      </c>
    </row>
    <row r="25" spans="1:7" ht="15" customHeight="1">
      <c r="A25" s="8">
        <v>4</v>
      </c>
      <c r="B25" s="7" t="s">
        <v>28</v>
      </c>
      <c r="C25" s="8">
        <v>1</v>
      </c>
      <c r="D25" s="11">
        <v>0.97454729538163642</v>
      </c>
      <c r="E25" s="11">
        <v>1.1546433254187125E-2</v>
      </c>
      <c r="F25" s="11">
        <v>-7.8992547546122994E-3</v>
      </c>
      <c r="G25" s="10" t="s">
        <v>19</v>
      </c>
    </row>
    <row r="26" spans="1:7" ht="15" customHeight="1">
      <c r="A26" s="8">
        <v>3</v>
      </c>
      <c r="B26" s="7" t="s">
        <v>29</v>
      </c>
      <c r="C26" s="8">
        <v>1</v>
      </c>
      <c r="D26" s="11">
        <v>0.97304984250618487</v>
      </c>
      <c r="E26" s="11">
        <v>1.2037154841188398E-2</v>
      </c>
      <c r="F26" s="11">
        <v>1.1285129745768162E-2</v>
      </c>
      <c r="G26" s="10" t="s">
        <v>19</v>
      </c>
    </row>
    <row r="27" spans="1:7" ht="15" customHeight="1">
      <c r="A27" s="8">
        <v>12</v>
      </c>
      <c r="B27" s="7" t="s">
        <v>30</v>
      </c>
      <c r="C27" s="8">
        <v>2</v>
      </c>
      <c r="D27" s="11">
        <v>0.96781623687238738</v>
      </c>
      <c r="E27" s="11">
        <v>1.3460630465356371E-2</v>
      </c>
      <c r="F27" s="11">
        <v>1.1345769622475388E-2</v>
      </c>
      <c r="G27" s="10" t="s">
        <v>19</v>
      </c>
    </row>
    <row r="28" spans="1:7" ht="15" customHeight="1">
      <c r="A28" s="8">
        <v>1</v>
      </c>
      <c r="B28" s="7" t="s">
        <v>31</v>
      </c>
      <c r="C28" s="8">
        <v>1</v>
      </c>
      <c r="D28" s="11">
        <v>0.96662476248435836</v>
      </c>
      <c r="E28" s="11">
        <v>1.3167559399633001E-2</v>
      </c>
      <c r="F28" s="11">
        <v>1.2004300903249766E-2</v>
      </c>
      <c r="G28" s="10" t="s">
        <v>19</v>
      </c>
    </row>
    <row r="29" spans="1:7" ht="15" customHeight="1">
      <c r="A29" s="8">
        <v>16</v>
      </c>
      <c r="B29" s="7" t="s">
        <v>32</v>
      </c>
      <c r="C29" s="8">
        <v>2</v>
      </c>
      <c r="D29" s="11">
        <v>0.95828511948207218</v>
      </c>
      <c r="E29" s="11">
        <v>1.5045216270950533E-2</v>
      </c>
      <c r="F29" s="11">
        <v>-1.3616054424441059E-2</v>
      </c>
      <c r="G29" s="10" t="s">
        <v>19</v>
      </c>
    </row>
    <row r="30" spans="1:7" ht="15" customHeight="1">
      <c r="A30" s="8">
        <v>8</v>
      </c>
      <c r="B30" s="7" t="s">
        <v>33</v>
      </c>
      <c r="C30" s="8">
        <v>1</v>
      </c>
      <c r="D30" s="11">
        <v>0.94276307506049084</v>
      </c>
      <c r="E30" s="11">
        <v>1.6993162667662726E-2</v>
      </c>
      <c r="F30" s="11">
        <v>-1.5385180900390472E-2</v>
      </c>
      <c r="G30" s="10" t="s">
        <v>19</v>
      </c>
    </row>
    <row r="31" spans="1:7" ht="15" customHeight="1">
      <c r="A31" s="8">
        <v>10</v>
      </c>
      <c r="B31" s="7" t="s">
        <v>34</v>
      </c>
      <c r="C31" s="8">
        <v>2</v>
      </c>
      <c r="D31" s="11">
        <v>0.94011750646244374</v>
      </c>
      <c r="E31" s="11">
        <v>1.8240919112978475E-2</v>
      </c>
      <c r="F31" s="11">
        <v>1.7764409081309853E-2</v>
      </c>
      <c r="G31" s="10" t="s">
        <v>19</v>
      </c>
    </row>
    <row r="32" spans="1:7" ht="15" customHeight="1">
      <c r="A32" s="8">
        <v>55</v>
      </c>
      <c r="B32" s="7" t="s">
        <v>35</v>
      </c>
      <c r="C32" s="8">
        <v>6</v>
      </c>
      <c r="D32" s="11">
        <v>0.91795132553722525</v>
      </c>
      <c r="E32" s="11">
        <v>1.6364243591778679E-2</v>
      </c>
      <c r="F32" s="11">
        <v>4.411398764814051E-3</v>
      </c>
      <c r="G32" s="10" t="s">
        <v>19</v>
      </c>
    </row>
    <row r="33" spans="1:7" ht="15" customHeight="1">
      <c r="A33" s="8">
        <v>72</v>
      </c>
      <c r="B33" s="7" t="s">
        <v>36</v>
      </c>
      <c r="C33" s="8">
        <v>8</v>
      </c>
      <c r="D33" s="11">
        <v>0.91022050611119065</v>
      </c>
      <c r="E33" s="11">
        <v>1.7323832640896781E-2</v>
      </c>
      <c r="F33" s="11">
        <v>2.2253283810461325E-3</v>
      </c>
      <c r="G33" s="10" t="s">
        <v>19</v>
      </c>
    </row>
    <row r="34" spans="1:7" ht="15" customHeight="1">
      <c r="A34" s="8">
        <v>71</v>
      </c>
      <c r="B34" s="7" t="s">
        <v>37</v>
      </c>
      <c r="C34" s="8">
        <v>8</v>
      </c>
      <c r="D34" s="11">
        <v>0.89249433404433576</v>
      </c>
      <c r="E34" s="11">
        <v>1.8838985463638977E-2</v>
      </c>
      <c r="F34" s="11">
        <v>5.2710024804459663E-3</v>
      </c>
      <c r="G34" s="10" t="s">
        <v>19</v>
      </c>
    </row>
    <row r="35" spans="1:7" ht="15" customHeight="1">
      <c r="A35" s="8">
        <v>7</v>
      </c>
      <c r="B35" s="7" t="s">
        <v>38</v>
      </c>
      <c r="C35" s="8">
        <v>1</v>
      </c>
      <c r="D35" s="11">
        <v>0.87921009227103286</v>
      </c>
      <c r="E35" s="11">
        <v>2.4868030487407055E-2</v>
      </c>
      <c r="F35" s="11">
        <v>-2.0745063928938066E-2</v>
      </c>
      <c r="G35" s="10" t="s">
        <v>19</v>
      </c>
    </row>
    <row r="36" spans="1:7" ht="15" customHeight="1">
      <c r="A36" s="8">
        <v>44</v>
      </c>
      <c r="B36" s="7" t="s">
        <v>39</v>
      </c>
      <c r="C36" s="8">
        <v>5</v>
      </c>
      <c r="D36" s="11">
        <v>0.87899128993608322</v>
      </c>
      <c r="E36" s="11">
        <v>1.9919034759815841E-2</v>
      </c>
      <c r="F36" s="11">
        <v>-1.1260257652842838E-2</v>
      </c>
      <c r="G36" s="10" t="s">
        <v>19</v>
      </c>
    </row>
    <row r="37" spans="1:7" ht="15" customHeight="1">
      <c r="A37" s="8">
        <v>80</v>
      </c>
      <c r="B37" s="7" t="s">
        <v>40</v>
      </c>
      <c r="C37" s="8">
        <v>9</v>
      </c>
      <c r="D37" s="11">
        <v>0.86841777405762788</v>
      </c>
      <c r="E37" s="11">
        <v>2.0875664077606049E-2</v>
      </c>
      <c r="F37" s="11">
        <v>5.5852131143105258E-3</v>
      </c>
      <c r="G37" s="10" t="s">
        <v>19</v>
      </c>
    </row>
    <row r="38" spans="1:7" ht="15" customHeight="1">
      <c r="A38" s="8">
        <v>27</v>
      </c>
      <c r="B38" s="7" t="s">
        <v>41</v>
      </c>
      <c r="C38" s="8">
        <v>3</v>
      </c>
      <c r="D38" s="11">
        <v>0.85398759129656843</v>
      </c>
      <c r="E38" s="11">
        <v>2.5699312465548275E-2</v>
      </c>
      <c r="F38" s="11">
        <v>-3.7302245567970684E-3</v>
      </c>
      <c r="G38" s="10" t="s">
        <v>19</v>
      </c>
    </row>
    <row r="39" spans="1:7" ht="15" customHeight="1">
      <c r="A39" s="8">
        <v>24</v>
      </c>
      <c r="B39" s="7" t="s">
        <v>42</v>
      </c>
      <c r="C39" s="8">
        <v>3</v>
      </c>
      <c r="D39" s="11">
        <v>0.85295028509480753</v>
      </c>
      <c r="E39" s="11">
        <v>2.6352021027159923E-2</v>
      </c>
      <c r="F39" s="11">
        <v>2.33548991992704E-3</v>
      </c>
      <c r="G39" s="10" t="s">
        <v>19</v>
      </c>
    </row>
    <row r="40" spans="1:7" ht="15" customHeight="1">
      <c r="A40" s="8">
        <v>37</v>
      </c>
      <c r="B40" s="7" t="s">
        <v>43</v>
      </c>
      <c r="C40" s="8">
        <v>4</v>
      </c>
      <c r="D40" s="11">
        <v>0.84921563582657789</v>
      </c>
      <c r="E40" s="11">
        <v>2.2523597080546062E-2</v>
      </c>
      <c r="F40" s="11">
        <v>-1.409365798197358E-2</v>
      </c>
      <c r="G40" s="10" t="s">
        <v>19</v>
      </c>
    </row>
    <row r="41" spans="1:7" ht="15" customHeight="1">
      <c r="A41" s="8">
        <v>34</v>
      </c>
      <c r="B41" s="7" t="s">
        <v>44</v>
      </c>
      <c r="C41" s="8">
        <v>4</v>
      </c>
      <c r="D41" s="11">
        <v>0.83716036415196893</v>
      </c>
      <c r="E41" s="11">
        <v>2.8204379364938591E-2</v>
      </c>
      <c r="F41" s="11">
        <v>4.3205511222922247E-3</v>
      </c>
      <c r="G41" s="10" t="s">
        <v>19</v>
      </c>
    </row>
    <row r="42" spans="1:7" ht="15" customHeight="1">
      <c r="A42" s="8">
        <v>36</v>
      </c>
      <c r="B42" s="7" t="s">
        <v>45</v>
      </c>
      <c r="C42" s="8">
        <v>4</v>
      </c>
      <c r="D42" s="11">
        <v>0.83584154773117403</v>
      </c>
      <c r="E42" s="11">
        <v>2.3122413464846552E-2</v>
      </c>
      <c r="F42" s="11">
        <v>-1.114353328596706E-2</v>
      </c>
      <c r="G42" s="10" t="s">
        <v>19</v>
      </c>
    </row>
    <row r="43" spans="1:7" ht="15" customHeight="1">
      <c r="A43" s="8">
        <v>75</v>
      </c>
      <c r="B43" s="7" t="s">
        <v>46</v>
      </c>
      <c r="C43" s="8">
        <v>9</v>
      </c>
      <c r="D43" s="11">
        <v>0.82144371519433168</v>
      </c>
      <c r="E43" s="11">
        <v>2.4373248815491418E-2</v>
      </c>
      <c r="F43" s="11">
        <v>2.3716047542730379E-3</v>
      </c>
      <c r="G43" s="10" t="s">
        <v>19</v>
      </c>
    </row>
    <row r="44" spans="1:7" ht="15" customHeight="1">
      <c r="A44" s="8">
        <v>26</v>
      </c>
      <c r="B44" s="7" t="s">
        <v>47</v>
      </c>
      <c r="C44" s="8">
        <v>3</v>
      </c>
      <c r="D44" s="11">
        <v>0.81402746180961083</v>
      </c>
      <c r="E44" s="11">
        <v>2.8858706865047625E-2</v>
      </c>
      <c r="F44" s="11">
        <v>-2.9465242492896005E-3</v>
      </c>
      <c r="G44" s="10" t="s">
        <v>19</v>
      </c>
    </row>
    <row r="45" spans="1:7" ht="15" customHeight="1">
      <c r="A45" s="8">
        <v>56</v>
      </c>
      <c r="B45" s="7" t="s">
        <v>48</v>
      </c>
      <c r="C45" s="8">
        <v>6</v>
      </c>
      <c r="D45" s="11">
        <v>0.80501949277654428</v>
      </c>
      <c r="E45" s="11">
        <v>2.5480608951919614E-2</v>
      </c>
      <c r="F45" s="11">
        <v>9.4403784423237134E-3</v>
      </c>
      <c r="G45" s="10" t="s">
        <v>19</v>
      </c>
    </row>
    <row r="46" spans="1:7" ht="15" customHeight="1">
      <c r="A46" s="8">
        <v>25</v>
      </c>
      <c r="B46" s="7" t="s">
        <v>49</v>
      </c>
      <c r="C46" s="8">
        <v>3</v>
      </c>
      <c r="D46" s="11">
        <v>0.7953675079589454</v>
      </c>
      <c r="E46" s="11">
        <v>3.0108985312619893E-2</v>
      </c>
      <c r="F46" s="11">
        <v>-4.3803154241016471E-3</v>
      </c>
      <c r="G46" s="10" t="s">
        <v>50</v>
      </c>
    </row>
    <row r="47" spans="1:7" ht="15" customHeight="1">
      <c r="A47" s="8">
        <v>32</v>
      </c>
      <c r="B47" s="7" t="s">
        <v>51</v>
      </c>
      <c r="C47" s="8">
        <v>4</v>
      </c>
      <c r="D47" s="11">
        <v>0.79280544083895232</v>
      </c>
      <c r="E47" s="11">
        <v>3.2792668795360559E-2</v>
      </c>
      <c r="F47" s="11">
        <v>1.3320046953070631E-2</v>
      </c>
      <c r="G47" s="10" t="s">
        <v>50</v>
      </c>
    </row>
    <row r="48" spans="1:7" ht="15" customHeight="1">
      <c r="A48" s="8">
        <v>9</v>
      </c>
      <c r="B48" s="7" t="s">
        <v>52</v>
      </c>
      <c r="C48" s="8">
        <v>2</v>
      </c>
      <c r="D48" s="11">
        <v>0.79086632937943557</v>
      </c>
      <c r="E48" s="11">
        <v>3.3324742754356346E-2</v>
      </c>
      <c r="F48" s="11">
        <v>1.6255117355388374E-2</v>
      </c>
      <c r="G48" s="10" t="s">
        <v>50</v>
      </c>
    </row>
    <row r="49" spans="1:7" ht="15" customHeight="1">
      <c r="A49" s="8">
        <v>35</v>
      </c>
      <c r="B49" s="7" t="s">
        <v>53</v>
      </c>
      <c r="C49" s="8">
        <v>4</v>
      </c>
      <c r="D49" s="11">
        <v>0.77666680700211876</v>
      </c>
      <c r="E49" s="11">
        <v>3.2343261784959887E-2</v>
      </c>
      <c r="F49" s="11">
        <v>-9.7753886413056226E-3</v>
      </c>
      <c r="G49" s="10" t="s">
        <v>50</v>
      </c>
    </row>
    <row r="50" spans="1:7" ht="15" customHeight="1">
      <c r="A50" s="8">
        <v>20</v>
      </c>
      <c r="B50" s="7" t="s">
        <v>54</v>
      </c>
      <c r="C50" s="8">
        <v>3</v>
      </c>
      <c r="D50" s="11">
        <v>0.77422068568604274</v>
      </c>
      <c r="E50" s="11">
        <v>3.5029310756795072E-2</v>
      </c>
      <c r="F50" s="11">
        <v>-1.4962608246390929E-2</v>
      </c>
      <c r="G50" s="10" t="s">
        <v>50</v>
      </c>
    </row>
    <row r="51" spans="1:7" ht="15" customHeight="1">
      <c r="A51" s="8">
        <v>57</v>
      </c>
      <c r="B51" s="7" t="s">
        <v>55</v>
      </c>
      <c r="C51" s="8">
        <v>6</v>
      </c>
      <c r="D51" s="11">
        <v>0.7695764876540957</v>
      </c>
      <c r="E51" s="11">
        <v>2.7622026838600985E-2</v>
      </c>
      <c r="F51" s="11">
        <v>8.7719417739485993E-5</v>
      </c>
      <c r="G51" s="10" t="s">
        <v>50</v>
      </c>
    </row>
    <row r="52" spans="1:7" ht="15" customHeight="1">
      <c r="A52" s="8">
        <v>33</v>
      </c>
      <c r="B52" s="7" t="s">
        <v>56</v>
      </c>
      <c r="C52" s="8">
        <v>4</v>
      </c>
      <c r="D52" s="11">
        <v>0.76452805021867876</v>
      </c>
      <c r="E52" s="11">
        <v>3.3775273073913932E-2</v>
      </c>
      <c r="F52" s="11">
        <v>1.2834400862753321E-2</v>
      </c>
      <c r="G52" s="10" t="s">
        <v>50</v>
      </c>
    </row>
    <row r="53" spans="1:7" ht="15" customHeight="1">
      <c r="A53" s="8">
        <v>22</v>
      </c>
      <c r="B53" s="7" t="s">
        <v>57</v>
      </c>
      <c r="C53" s="8">
        <v>3</v>
      </c>
      <c r="D53" s="11">
        <v>0.75945026369435154</v>
      </c>
      <c r="E53" s="11">
        <v>3.4760721481753923E-2</v>
      </c>
      <c r="F53" s="11">
        <v>1.6681473013578803E-2</v>
      </c>
      <c r="G53" s="10" t="s">
        <v>50</v>
      </c>
    </row>
    <row r="54" spans="1:7" ht="15" customHeight="1">
      <c r="A54" s="8">
        <v>64</v>
      </c>
      <c r="B54" s="7" t="s">
        <v>58</v>
      </c>
      <c r="C54" s="8">
        <v>7</v>
      </c>
      <c r="D54" s="11">
        <v>0.75374770030206772</v>
      </c>
      <c r="E54" s="11">
        <v>2.8778808035774536E-2</v>
      </c>
      <c r="F54" s="11">
        <v>2.3737294792800815E-3</v>
      </c>
      <c r="G54" s="10" t="s">
        <v>50</v>
      </c>
    </row>
    <row r="55" spans="1:7" ht="15" customHeight="1">
      <c r="A55" s="8">
        <v>81</v>
      </c>
      <c r="B55" s="7" t="s">
        <v>59</v>
      </c>
      <c r="C55" s="8">
        <v>9</v>
      </c>
      <c r="D55" s="11">
        <v>0.74995391871354045</v>
      </c>
      <c r="E55" s="11">
        <v>2.8732684259223883E-2</v>
      </c>
      <c r="F55" s="11">
        <v>7.0077043905901167E-3</v>
      </c>
      <c r="G55" s="10" t="s">
        <v>50</v>
      </c>
    </row>
    <row r="56" spans="1:7" ht="15" customHeight="1">
      <c r="A56" s="8">
        <v>38</v>
      </c>
      <c r="B56" s="7" t="s">
        <v>60</v>
      </c>
      <c r="C56" s="8">
        <v>4</v>
      </c>
      <c r="D56" s="11">
        <v>0.74976260244862847</v>
      </c>
      <c r="E56" s="11">
        <v>2.9058771574212262E-2</v>
      </c>
      <c r="F56" s="11">
        <v>-2.8333609989359843E-3</v>
      </c>
      <c r="G56" s="10" t="s">
        <v>50</v>
      </c>
    </row>
    <row r="57" spans="1:7" ht="15" customHeight="1">
      <c r="A57" s="8">
        <v>62</v>
      </c>
      <c r="B57" s="7" t="s">
        <v>61</v>
      </c>
      <c r="C57" s="8">
        <v>7</v>
      </c>
      <c r="D57" s="11">
        <v>0.7440446973515602</v>
      </c>
      <c r="E57" s="11">
        <v>2.8840388793738025E-2</v>
      </c>
      <c r="F57" s="11">
        <v>6.5930843422717274E-3</v>
      </c>
      <c r="G57" s="10" t="s">
        <v>50</v>
      </c>
    </row>
    <row r="58" spans="1:7" ht="15" customHeight="1">
      <c r="A58" s="8">
        <v>0</v>
      </c>
      <c r="B58" s="7" t="s">
        <v>62</v>
      </c>
      <c r="C58" s="8">
        <v>1</v>
      </c>
      <c r="D58" s="11">
        <v>0.74319812348272918</v>
      </c>
      <c r="E58" s="11">
        <v>3.7663944130108519E-2</v>
      </c>
      <c r="F58" s="11">
        <v>-1.8010873434735036E-2</v>
      </c>
      <c r="G58" s="10" t="s">
        <v>50</v>
      </c>
    </row>
    <row r="59" spans="1:7" ht="15" customHeight="1">
      <c r="A59" s="8">
        <v>45</v>
      </c>
      <c r="B59" s="7" t="s">
        <v>63</v>
      </c>
      <c r="C59" s="8">
        <v>5</v>
      </c>
      <c r="D59" s="11">
        <v>0.73019788065222557</v>
      </c>
      <c r="E59" s="11">
        <v>2.959426267437636E-2</v>
      </c>
      <c r="F59" s="11">
        <v>5.4368243925191524E-3</v>
      </c>
      <c r="G59" s="10" t="s">
        <v>50</v>
      </c>
    </row>
    <row r="60" spans="1:7" ht="15" customHeight="1">
      <c r="A60" s="8">
        <v>23</v>
      </c>
      <c r="B60" s="7" t="s">
        <v>64</v>
      </c>
      <c r="C60" s="8">
        <v>3</v>
      </c>
      <c r="D60" s="11">
        <v>0.72964169047053618</v>
      </c>
      <c r="E60" s="11">
        <v>3.6216037787693479E-2</v>
      </c>
      <c r="F60" s="11">
        <v>1.7416315932927147E-2</v>
      </c>
      <c r="G60" s="10" t="s">
        <v>50</v>
      </c>
    </row>
    <row r="61" spans="1:7" ht="15" customHeight="1">
      <c r="A61" s="8">
        <v>65</v>
      </c>
      <c r="B61" s="7" t="s">
        <v>65</v>
      </c>
      <c r="C61" s="8">
        <v>8</v>
      </c>
      <c r="D61" s="11">
        <v>0.72069540374901109</v>
      </c>
      <c r="E61" s="11">
        <v>2.9123877947289309E-2</v>
      </c>
      <c r="F61" s="11">
        <v>8.8535404230233108E-3</v>
      </c>
      <c r="G61" s="10" t="s">
        <v>50</v>
      </c>
    </row>
    <row r="62" spans="1:7" ht="15" customHeight="1">
      <c r="A62" s="8">
        <v>74</v>
      </c>
      <c r="B62" s="7" t="s">
        <v>66</v>
      </c>
      <c r="C62" s="8">
        <v>8</v>
      </c>
      <c r="D62" s="11">
        <v>0.70658481440260479</v>
      </c>
      <c r="E62" s="11">
        <v>3.0981637960962538E-2</v>
      </c>
      <c r="F62" s="11">
        <v>5.3027432675757354E-3</v>
      </c>
      <c r="G62" s="10" t="s">
        <v>50</v>
      </c>
    </row>
    <row r="63" spans="1:7" ht="15" customHeight="1">
      <c r="A63" s="8">
        <v>68</v>
      </c>
      <c r="B63" s="7" t="s">
        <v>67</v>
      </c>
      <c r="C63" s="8">
        <v>8</v>
      </c>
      <c r="D63" s="11">
        <v>0.70639516500334842</v>
      </c>
      <c r="E63" s="11">
        <v>3.0945915157465084E-2</v>
      </c>
      <c r="F63" s="11">
        <v>5.4414475003516736E-3</v>
      </c>
      <c r="G63" s="10" t="s">
        <v>50</v>
      </c>
    </row>
    <row r="64" spans="1:7" ht="15" customHeight="1">
      <c r="A64" s="8">
        <v>70</v>
      </c>
      <c r="B64" s="7" t="s">
        <v>68</v>
      </c>
      <c r="C64" s="8">
        <v>8</v>
      </c>
      <c r="D64" s="11">
        <v>0.68190655138854139</v>
      </c>
      <c r="E64" s="11">
        <v>3.1894089580603142E-2</v>
      </c>
      <c r="F64" s="11">
        <v>9.7557042988194939E-3</v>
      </c>
      <c r="G64" s="10" t="s">
        <v>50</v>
      </c>
    </row>
    <row r="65" spans="1:7" ht="15" customHeight="1">
      <c r="A65" s="8">
        <v>69</v>
      </c>
      <c r="B65" s="7" t="s">
        <v>69</v>
      </c>
      <c r="C65" s="8">
        <v>8</v>
      </c>
      <c r="D65" s="11">
        <v>0.67340631630750258</v>
      </c>
      <c r="E65" s="11">
        <v>3.2175521459201294E-2</v>
      </c>
      <c r="F65" s="11">
        <v>7.1701802586794016E-3</v>
      </c>
      <c r="G65" s="10" t="s">
        <v>50</v>
      </c>
    </row>
    <row r="66" spans="1:7" ht="15" customHeight="1">
      <c r="A66" s="8">
        <v>83</v>
      </c>
      <c r="B66" s="7" t="s">
        <v>70</v>
      </c>
      <c r="C66" s="8">
        <v>9</v>
      </c>
      <c r="D66" s="11">
        <v>0.66816407183605564</v>
      </c>
      <c r="E66" s="11">
        <v>3.266747231565529E-2</v>
      </c>
      <c r="F66" s="11">
        <v>7.1965997534954411E-3</v>
      </c>
      <c r="G66" s="10" t="s">
        <v>50</v>
      </c>
    </row>
    <row r="67" spans="1:7" ht="15" customHeight="1">
      <c r="A67" s="8">
        <v>42</v>
      </c>
      <c r="B67" s="7" t="s">
        <v>71</v>
      </c>
      <c r="C67" s="8">
        <v>5</v>
      </c>
      <c r="D67" s="11">
        <v>0.65905224001423623</v>
      </c>
      <c r="E67" s="11">
        <v>3.3324397052147202E-2</v>
      </c>
      <c r="F67" s="11">
        <v>1.0182381909651981E-2</v>
      </c>
      <c r="G67" s="10" t="s">
        <v>50</v>
      </c>
    </row>
    <row r="68" spans="1:7" ht="15" customHeight="1">
      <c r="A68" s="8">
        <v>63</v>
      </c>
      <c r="B68" s="7" t="s">
        <v>72</v>
      </c>
      <c r="C68" s="8">
        <v>7</v>
      </c>
      <c r="D68" s="11">
        <v>0.6559821164591948</v>
      </c>
      <c r="E68" s="11">
        <v>3.3771045275213067E-2</v>
      </c>
      <c r="F68" s="11">
        <v>5.7569536636608428E-3</v>
      </c>
      <c r="G68" s="10" t="s">
        <v>50</v>
      </c>
    </row>
    <row r="69" spans="1:7" ht="15" customHeight="1">
      <c r="A69" s="8">
        <v>58</v>
      </c>
      <c r="B69" s="7" t="s">
        <v>73</v>
      </c>
      <c r="C69" s="8">
        <v>6</v>
      </c>
      <c r="D69" s="11">
        <v>0.63958656621437815</v>
      </c>
      <c r="E69" s="11">
        <v>3.4343308002465489E-2</v>
      </c>
      <c r="F69" s="11">
        <v>3.6398471515373867E-3</v>
      </c>
      <c r="G69" s="10" t="s">
        <v>50</v>
      </c>
    </row>
    <row r="70" spans="1:7" ht="15" customHeight="1">
      <c r="A70" s="8">
        <v>41</v>
      </c>
      <c r="B70" s="7" t="s">
        <v>74</v>
      </c>
      <c r="C70" s="8">
        <v>5</v>
      </c>
      <c r="D70" s="11">
        <v>0.63880005192319589</v>
      </c>
      <c r="E70" s="11">
        <v>3.4206023591182126E-2</v>
      </c>
      <c r="F70" s="11">
        <v>1.3216178030178757E-3</v>
      </c>
      <c r="G70" s="10" t="s">
        <v>50</v>
      </c>
    </row>
    <row r="71" spans="1:7" ht="15" customHeight="1">
      <c r="A71" s="8">
        <v>31</v>
      </c>
      <c r="B71" s="7" t="s">
        <v>75</v>
      </c>
      <c r="C71" s="8">
        <v>4</v>
      </c>
      <c r="D71" s="11">
        <v>0.58089183754698692</v>
      </c>
      <c r="E71" s="11">
        <v>4.632098018304897E-2</v>
      </c>
      <c r="F71" s="11">
        <v>2.3822846604620217E-2</v>
      </c>
      <c r="G71" s="10" t="s">
        <v>50</v>
      </c>
    </row>
    <row r="72" spans="1:7" ht="15" customHeight="1">
      <c r="A72" s="8">
        <v>40</v>
      </c>
      <c r="B72" s="7" t="s">
        <v>76</v>
      </c>
      <c r="C72" s="8">
        <v>5</v>
      </c>
      <c r="D72" s="11">
        <v>0.57819454591830466</v>
      </c>
      <c r="E72" s="11">
        <v>3.6466387078832992E-2</v>
      </c>
      <c r="F72" s="11">
        <v>-5.2805271596311843E-3</v>
      </c>
      <c r="G72" s="10" t="s">
        <v>50</v>
      </c>
    </row>
    <row r="73" spans="1:7" ht="15" customHeight="1">
      <c r="A73" s="8">
        <v>79</v>
      </c>
      <c r="B73" s="7" t="s">
        <v>77</v>
      </c>
      <c r="C73" s="8">
        <v>9</v>
      </c>
      <c r="D73" s="11">
        <v>0.52336364985119577</v>
      </c>
      <c r="E73" s="11">
        <v>3.8451147660063204E-2</v>
      </c>
      <c r="F73" s="11">
        <v>-1.9419980884375273E-4</v>
      </c>
      <c r="G73" s="10" t="s">
        <v>50</v>
      </c>
    </row>
    <row r="74" spans="1:7" ht="15" customHeight="1">
      <c r="A74" s="8">
        <v>43</v>
      </c>
      <c r="B74" s="7" t="s">
        <v>78</v>
      </c>
      <c r="C74" s="8">
        <v>5</v>
      </c>
      <c r="D74" s="11">
        <v>0.5206143661121525</v>
      </c>
      <c r="E74" s="11">
        <v>3.9738507273222361E-2</v>
      </c>
      <c r="F74" s="11">
        <v>2.4031365975898347E-2</v>
      </c>
      <c r="G74" s="10" t="s">
        <v>50</v>
      </c>
    </row>
    <row r="75" spans="1:7" ht="15" customHeight="1">
      <c r="A75" s="8">
        <v>77</v>
      </c>
      <c r="B75" s="7" t="s">
        <v>79</v>
      </c>
      <c r="C75" s="8">
        <v>9</v>
      </c>
      <c r="D75" s="11">
        <v>0.48056068008017572</v>
      </c>
      <c r="E75" s="11">
        <v>4.0696381774949407E-2</v>
      </c>
      <c r="F75" s="11">
        <v>-3.0384226565101143E-3</v>
      </c>
      <c r="G75" s="10" t="s">
        <v>80</v>
      </c>
    </row>
    <row r="76" spans="1:7" ht="15" customHeight="1">
      <c r="A76" s="8">
        <v>39</v>
      </c>
      <c r="B76" s="7" t="s">
        <v>81</v>
      </c>
      <c r="C76" s="8">
        <v>5</v>
      </c>
      <c r="D76" s="11">
        <v>0.47259013903005176</v>
      </c>
      <c r="E76" s="11">
        <v>4.2469619411529956E-2</v>
      </c>
      <c r="F76" s="11">
        <v>1.6073494923433854E-2</v>
      </c>
      <c r="G76" s="10" t="s">
        <v>80</v>
      </c>
    </row>
    <row r="77" spans="1:7" ht="15" customHeight="1">
      <c r="A77" s="8">
        <v>21</v>
      </c>
      <c r="B77" s="7" t="s">
        <v>82</v>
      </c>
      <c r="C77" s="8">
        <v>3</v>
      </c>
      <c r="D77" s="11">
        <v>0.46167118412970143</v>
      </c>
      <c r="E77" s="11">
        <v>5.1843505892666161E-2</v>
      </c>
      <c r="F77" s="11">
        <v>2.5992791615631963E-2</v>
      </c>
      <c r="G77" s="10" t="s">
        <v>80</v>
      </c>
    </row>
    <row r="78" spans="1:7" ht="15" customHeight="1">
      <c r="A78" s="8">
        <v>19</v>
      </c>
      <c r="B78" s="7" t="s">
        <v>83</v>
      </c>
      <c r="C78" s="8">
        <v>3</v>
      </c>
      <c r="D78" s="11">
        <v>0.45273564828240087</v>
      </c>
      <c r="E78" s="11">
        <v>5.6224179940083226E-2</v>
      </c>
      <c r="F78" s="11">
        <v>-3.4638225908263535E-2</v>
      </c>
      <c r="G78" s="10" t="s">
        <v>80</v>
      </c>
    </row>
    <row r="79" spans="1:7" ht="15" customHeight="1">
      <c r="A79" s="8">
        <v>60</v>
      </c>
      <c r="B79" s="7" t="s">
        <v>84</v>
      </c>
      <c r="C79" s="8">
        <v>7</v>
      </c>
      <c r="D79" s="11">
        <v>0.44561466596027333</v>
      </c>
      <c r="E79" s="11">
        <v>4.1663382165572402E-2</v>
      </c>
      <c r="F79" s="11">
        <v>2.1763765790310384E-4</v>
      </c>
      <c r="G79" s="10" t="s">
        <v>80</v>
      </c>
    </row>
    <row r="80" spans="1:7" ht="15" customHeight="1">
      <c r="A80" s="8">
        <v>29</v>
      </c>
      <c r="B80" s="7" t="s">
        <v>85</v>
      </c>
      <c r="C80" s="8">
        <v>4</v>
      </c>
      <c r="D80" s="11">
        <v>0.41105796599095035</v>
      </c>
      <c r="E80" s="11">
        <v>5.4143087245775143E-2</v>
      </c>
      <c r="F80" s="11">
        <v>2.8133311213115627E-2</v>
      </c>
      <c r="G80" s="10" t="s">
        <v>80</v>
      </c>
    </row>
    <row r="81" spans="1:7" ht="15" customHeight="1">
      <c r="A81" s="8">
        <v>59</v>
      </c>
      <c r="B81" s="7" t="s">
        <v>86</v>
      </c>
      <c r="C81" s="8">
        <v>7</v>
      </c>
      <c r="D81" s="11">
        <v>0.39213182049446305</v>
      </c>
      <c r="E81" s="11">
        <v>4.3393521470748479E-2</v>
      </c>
      <c r="F81" s="11">
        <v>-2.5535238662241101E-3</v>
      </c>
      <c r="G81" s="10" t="s">
        <v>80</v>
      </c>
    </row>
    <row r="82" spans="1:7" ht="15" customHeight="1">
      <c r="A82" s="8">
        <v>78</v>
      </c>
      <c r="B82" s="7" t="s">
        <v>87</v>
      </c>
      <c r="C82" s="8">
        <v>9</v>
      </c>
      <c r="D82" s="11">
        <v>0.30112729845921415</v>
      </c>
      <c r="E82" s="11">
        <v>4.6806102627828694E-2</v>
      </c>
      <c r="F82" s="11">
        <v>-6.0212342674090804E-3</v>
      </c>
      <c r="G82" s="10" t="s">
        <v>80</v>
      </c>
    </row>
    <row r="83" spans="1:7" ht="15" customHeight="1">
      <c r="A83" s="8">
        <v>66</v>
      </c>
      <c r="B83" s="7" t="s">
        <v>88</v>
      </c>
      <c r="C83" s="8">
        <v>8</v>
      </c>
      <c r="D83" s="11">
        <v>0.30077148520829566</v>
      </c>
      <c r="E83" s="11">
        <v>4.5878802740184091E-2</v>
      </c>
      <c r="F83" s="11">
        <v>-3.3302632621468667E-3</v>
      </c>
      <c r="G83" s="10" t="s">
        <v>80</v>
      </c>
    </row>
    <row r="84" spans="1:7" ht="15" customHeight="1">
      <c r="A84" s="8">
        <v>67</v>
      </c>
      <c r="B84" s="7" t="s">
        <v>89</v>
      </c>
      <c r="C84" s="8">
        <v>8</v>
      </c>
      <c r="D84" s="11">
        <v>0.30009475958774068</v>
      </c>
      <c r="E84" s="11">
        <v>4.6008143725248876E-2</v>
      </c>
      <c r="F84" s="11">
        <v>3.778260350894562E-3</v>
      </c>
      <c r="G84" s="10" t="s">
        <v>80</v>
      </c>
    </row>
    <row r="85" spans="1:7" ht="15" customHeight="1">
      <c r="A85" s="8">
        <v>82</v>
      </c>
      <c r="B85" s="7" t="s">
        <v>90</v>
      </c>
      <c r="C85" s="8">
        <v>9</v>
      </c>
      <c r="D85" s="11">
        <v>0.29551921648453461</v>
      </c>
      <c r="E85" s="11">
        <v>4.815756114741223E-2</v>
      </c>
      <c r="F85" s="11">
        <v>2.4882708759094243E-3</v>
      </c>
      <c r="G85" s="10" t="s">
        <v>80</v>
      </c>
    </row>
    <row r="86" spans="1:7" ht="15" customHeight="1">
      <c r="A86" s="8">
        <v>61</v>
      </c>
      <c r="B86" s="7" t="s">
        <v>91</v>
      </c>
      <c r="C86" s="8">
        <v>7</v>
      </c>
      <c r="D86" s="11">
        <v>0.27928198195624865</v>
      </c>
      <c r="E86" s="11">
        <v>4.7909648038759828E-2</v>
      </c>
      <c r="F86" s="11">
        <v>-8.3006237902231929E-4</v>
      </c>
      <c r="G86" s="10" t="s">
        <v>80</v>
      </c>
    </row>
    <row r="87" spans="1:7" ht="15" customHeight="1">
      <c r="A87" s="8">
        <v>28</v>
      </c>
      <c r="B87" s="7" t="s">
        <v>92</v>
      </c>
      <c r="C87" s="8">
        <v>3</v>
      </c>
      <c r="D87" s="11">
        <v>0.26873612139642766</v>
      </c>
      <c r="E87" s="11">
        <v>6.0586253000588786E-2</v>
      </c>
      <c r="F87" s="11">
        <v>1.1975494931940221E-2</v>
      </c>
      <c r="G87" s="10" t="s">
        <v>80</v>
      </c>
    </row>
    <row r="88" spans="1:7" ht="15" customHeight="1">
      <c r="A88" s="8">
        <v>30</v>
      </c>
      <c r="B88" s="7" t="s">
        <v>93</v>
      </c>
      <c r="C88" s="8">
        <v>4</v>
      </c>
      <c r="D88" s="11">
        <v>0.24924443159908927</v>
      </c>
      <c r="E88" s="11">
        <v>6.0551671817697154E-2</v>
      </c>
      <c r="F88" s="11">
        <v>1.4269898245133215E-2</v>
      </c>
      <c r="G88" s="10" t="s">
        <v>80</v>
      </c>
    </row>
    <row r="89" spans="1:7" ht="15" customHeight="1">
      <c r="A89" s="8">
        <v>86</v>
      </c>
      <c r="B89" s="7" t="s">
        <v>94</v>
      </c>
      <c r="C89" s="8">
        <v>10</v>
      </c>
      <c r="D89" s="11">
        <v>0.14829321564751419</v>
      </c>
      <c r="E89" s="11">
        <v>5.1531405408589824E-2</v>
      </c>
      <c r="F89" s="11">
        <v>2.6097415347715994E-2</v>
      </c>
      <c r="G89" s="10" t="s">
        <v>80</v>
      </c>
    </row>
    <row r="90" spans="1:7" ht="15" customHeight="1">
      <c r="A90" s="8">
        <v>73</v>
      </c>
      <c r="B90" s="7" t="s">
        <v>95</v>
      </c>
      <c r="C90" s="8">
        <v>8</v>
      </c>
      <c r="D90" s="11">
        <v>9.902845367885349E-2</v>
      </c>
      <c r="E90" s="11">
        <v>5.4884397929936282E-2</v>
      </c>
      <c r="F90" s="11">
        <v>1.8193802122116284E-2</v>
      </c>
      <c r="G90" s="10" t="s">
        <v>80</v>
      </c>
    </row>
    <row r="91" spans="1:7" ht="15" customHeight="1">
      <c r="A91" s="8">
        <v>85</v>
      </c>
      <c r="B91" s="7" t="s">
        <v>96</v>
      </c>
      <c r="C91" s="8">
        <v>10</v>
      </c>
      <c r="D91" s="11">
        <v>-6.9992231528601678E-3</v>
      </c>
      <c r="E91" s="11">
        <v>5.7684788851353204E-2</v>
      </c>
      <c r="F91" s="11">
        <v>3.392859696213299E-2</v>
      </c>
      <c r="G91" s="10" t="s">
        <v>97</v>
      </c>
    </row>
    <row r="92" spans="1:7" ht="15" customHeight="1">
      <c r="A92" s="8">
        <v>46</v>
      </c>
      <c r="B92" s="7" t="s">
        <v>98</v>
      </c>
      <c r="C92" s="8">
        <v>5</v>
      </c>
      <c r="D92" s="11">
        <v>-4.6850721469072321E-2</v>
      </c>
      <c r="E92" s="11">
        <v>5.4397222692210513E-2</v>
      </c>
      <c r="F92" s="11">
        <v>-1.1220992547005216E-2</v>
      </c>
      <c r="G92" s="10" t="s">
        <v>97</v>
      </c>
    </row>
    <row r="93" spans="1:7" ht="15" customHeight="1">
      <c r="A93" s="8">
        <v>48</v>
      </c>
      <c r="B93" s="7" t="s">
        <v>99</v>
      </c>
      <c r="C93" s="8">
        <v>5</v>
      </c>
      <c r="D93" s="11">
        <v>-7.1262021488637028E-2</v>
      </c>
      <c r="E93" s="11">
        <v>5.5439082457394241E-2</v>
      </c>
      <c r="F93" s="11">
        <v>-5.609947332946722E-3</v>
      </c>
      <c r="G93" s="10" t="s">
        <v>97</v>
      </c>
    </row>
    <row r="94" spans="1:7" ht="15" customHeight="1">
      <c r="A94" s="8">
        <v>84</v>
      </c>
      <c r="B94" s="7" t="s">
        <v>100</v>
      </c>
      <c r="C94" s="8">
        <v>10</v>
      </c>
      <c r="D94" s="11">
        <v>-0.11376210748744531</v>
      </c>
      <c r="E94" s="11">
        <v>6.1659089477268468E-2</v>
      </c>
      <c r="F94" s="11">
        <v>3.7534963794163351E-2</v>
      </c>
      <c r="G94" s="10" t="s">
        <v>97</v>
      </c>
    </row>
    <row r="95" spans="1:7" ht="15" customHeight="1">
      <c r="A95" s="8">
        <v>76</v>
      </c>
      <c r="B95" s="7" t="s">
        <v>101</v>
      </c>
      <c r="C95" s="8">
        <v>9</v>
      </c>
      <c r="D95" s="11">
        <v>-0.23276570296281651</v>
      </c>
      <c r="E95" s="11">
        <v>6.3877015932308046E-2</v>
      </c>
      <c r="F95" s="11">
        <v>-2.6346525767442395E-3</v>
      </c>
      <c r="G95" s="10" t="s">
        <v>97</v>
      </c>
    </row>
    <row r="96" spans="1:7" ht="15" customHeight="1">
      <c r="A96" s="8">
        <v>50</v>
      </c>
      <c r="B96" s="7" t="s">
        <v>102</v>
      </c>
      <c r="C96" s="8">
        <v>6</v>
      </c>
      <c r="D96" s="11">
        <v>-0.28529359312464719</v>
      </c>
      <c r="E96" s="11">
        <v>6.3765674744028486E-2</v>
      </c>
      <c r="F96" s="11">
        <v>-4.9238476693293952E-3</v>
      </c>
      <c r="G96" s="10" t="s">
        <v>97</v>
      </c>
    </row>
    <row r="97" spans="1:7" ht="15" customHeight="1">
      <c r="A97" s="8">
        <v>51</v>
      </c>
      <c r="B97" s="7" t="s">
        <v>103</v>
      </c>
      <c r="C97" s="8">
        <v>6</v>
      </c>
      <c r="D97" s="11">
        <v>-0.48474911637465823</v>
      </c>
      <c r="E97" s="11">
        <v>6.8472385294964327E-2</v>
      </c>
      <c r="F97" s="11">
        <v>-2.076556486777812E-2</v>
      </c>
      <c r="G97" s="10" t="s">
        <v>97</v>
      </c>
    </row>
    <row r="98" spans="1:7" ht="15" customHeight="1">
      <c r="A98" s="8">
        <v>49</v>
      </c>
      <c r="B98" s="7" t="s">
        <v>104</v>
      </c>
      <c r="C98" s="8">
        <v>6</v>
      </c>
      <c r="D98" s="11">
        <v>-0.59241901835048427</v>
      </c>
      <c r="E98" s="11">
        <v>7.1682302807413015E-2</v>
      </c>
      <c r="F98" s="11">
        <v>-2.4745807316479452E-2</v>
      </c>
      <c r="G98" s="10" t="s">
        <v>97</v>
      </c>
    </row>
    <row r="99" spans="1:7" ht="15" customHeight="1">
      <c r="A99" s="8">
        <v>52</v>
      </c>
      <c r="B99" s="7" t="s">
        <v>105</v>
      </c>
      <c r="C99" s="8">
        <v>6</v>
      </c>
      <c r="D99" s="11">
        <v>-0.64380037313708804</v>
      </c>
      <c r="E99" s="11">
        <v>7.0890159257625429E-2</v>
      </c>
      <c r="F99" s="11">
        <v>-2.1996556076467038E-2</v>
      </c>
      <c r="G99" s="10" t="s">
        <v>97</v>
      </c>
    </row>
    <row r="100" spans="1:7" ht="15" customHeight="1">
      <c r="A100" s="8">
        <v>87</v>
      </c>
      <c r="B100" s="7" t="s">
        <v>106</v>
      </c>
      <c r="C100" s="8">
        <v>10</v>
      </c>
      <c r="D100" s="11">
        <v>-0.6527781085705513</v>
      </c>
      <c r="E100" s="11">
        <v>0.11447313611461968</v>
      </c>
      <c r="F100" s="11">
        <v>-6.4023397048968145E-2</v>
      </c>
      <c r="G100" s="10" t="s">
        <v>97</v>
      </c>
    </row>
    <row r="101" spans="1:7" ht="15" customHeight="1">
      <c r="A101" s="8">
        <v>47</v>
      </c>
      <c r="B101" s="7" t="s">
        <v>107</v>
      </c>
      <c r="C101" s="8">
        <v>5</v>
      </c>
      <c r="D101" s="11">
        <v>-0.85523325057301225</v>
      </c>
      <c r="E101" s="11">
        <v>7.1454448152753994E-2</v>
      </c>
      <c r="F101" s="11">
        <v>-3.4537280537526693E-2</v>
      </c>
      <c r="G101" s="10" t="s">
        <v>97</v>
      </c>
    </row>
    <row r="102" spans="1:7" ht="15" customHeight="1">
      <c r="A102" s="8">
        <v>53</v>
      </c>
      <c r="B102" s="7" t="s">
        <v>108</v>
      </c>
      <c r="C102" s="8">
        <v>6</v>
      </c>
      <c r="D102" s="11">
        <v>-0.8914305714056614</v>
      </c>
      <c r="E102" s="11">
        <v>7.5185190489782214E-2</v>
      </c>
      <c r="F102" s="11">
        <v>-2.7302271407579126E-2</v>
      </c>
      <c r="G102" s="10" t="s">
        <v>97</v>
      </c>
    </row>
    <row r="103" spans="1:7" ht="15" customHeight="1">
      <c r="A103" s="8">
        <v>54</v>
      </c>
      <c r="B103" s="7" t="s">
        <v>109</v>
      </c>
      <c r="C103" s="8">
        <v>6</v>
      </c>
      <c r="D103" s="11">
        <v>-1.1999114244209674</v>
      </c>
      <c r="E103" s="11">
        <v>7.960566323574883E-2</v>
      </c>
      <c r="F103" s="11">
        <v>-3.4314530987765775E-2</v>
      </c>
      <c r="G103" s="10" t="s">
        <v>97</v>
      </c>
    </row>
  </sheetData>
  <mergeCells count="4">
    <mergeCell ref="A2:G2"/>
    <mergeCell ref="A3:G3"/>
    <mergeCell ref="D6:G6"/>
    <mergeCell ref="D7:G10"/>
  </mergeCells>
  <conditionalFormatting sqref="D16:D10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6:E10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 wafer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#SAAND HARSH#</cp:lastModifiedBy>
  <dcterms:modified xsi:type="dcterms:W3CDTF">2026-10-07T03:42:59Z</dcterms:modified>
</cp:coreProperties>
</file>